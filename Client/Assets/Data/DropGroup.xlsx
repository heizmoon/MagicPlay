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<sst xmlns="http://schemas.openxmlformats.org/spreadsheetml/2006/main" count="29" uniqueCount="29">
  <si>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id</t>
  </si>
  <si>
    <t>别名</t>
  </si>
  <si>
    <t>掉落列表</t>
  </si>
  <si>
    <t>name</t>
  </si>
  <si>
    <t>list</t>
  </si>
  <si>
    <t>5,75|25,50</t>
  </si>
  <si>
    <t>52,75|72,50</t>
  </si>
  <si>
    <t>99,75|119,50</t>
  </si>
  <si>
    <t>45,15|5,25|52,25|99,25</t>
  </si>
  <si>
    <t>46,15|6,25|53,25|100,25</t>
  </si>
  <si>
    <t>47,15|8,25|55,25|102,25</t>
  </si>
  <si>
    <t>48,15|12,25|59,25|106,25</t>
  </si>
  <si>
    <t>49,15|16,25|63,25|110,25</t>
  </si>
  <si>
    <t>50,15|20,25|67,25|114,25</t>
  </si>
  <si>
    <t>51,15|24,25|71,25|118,25</t>
  </si>
  <si>
    <t>92,15|5,25|52,25|99,25</t>
  </si>
  <si>
    <t>93,15|6,25|53,25|100,25</t>
  </si>
  <si>
    <t>94,15|8,25|55,25|102,25</t>
  </si>
  <si>
    <t>95,15|12,25|59,25|106,25</t>
  </si>
  <si>
    <t>96,15|16,25|63,25|110,25</t>
  </si>
  <si>
    <t>97,15|20,25|67,25|114,25</t>
  </si>
  <si>
    <t>98,15|24,25|71,25|118,25</t>
  </si>
  <si>
    <t>139,15|5,25|52,25|99,25</t>
  </si>
  <si>
    <t>140,15|6,25|53,25|100,25</t>
  </si>
  <si>
    <t>141,15|8,25|55,25|102,25</t>
  </si>
  <si>
    <t>142,15|12,25|59,25|106,25</t>
  </si>
  <si>
    <t>143,15|16,25|63,25|110,25</t>
  </si>
  <si>
    <t>144,15|20,25|67,25|114,25</t>
  </si>
  <si>
    <t>145,15|24,25|71,25|118,25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</si>
</sst>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2"/>
      <color theme="1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1" fillId="19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7" fillId="13" borderId="3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ont="1" applyFill="1" applyAlignment="1"/>
    <xf numFmtId="0" fontId="0" fillId="0" borderId="0" xfId="0" applyFont="1" applyFill="1" applyAlignment="1"/>
    <xf numFmtId="0" fontId="0" fillId="3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3"/>
  <sheetViews>
    <sheetView tabSelected="1" topLeftCell="A49" workbookViewId="0">
      <selection activeCell="F56" sqref="F56"/>
    </sheetView>
  </sheetViews>
  <sheetFormatPr defaultColWidth="9" defaultRowHeight="13.5" outlineLevelCol="2"/>
  <cols>
    <col min="2" max="2" width="11.5" customWidth="1"/>
    <col min="3" max="3" width="25.5" customWidth="1"/>
  </cols>
  <sheetData>
    <row r="1" spans="1:3">
      <c r="A1" t="s">
        <v>0</v>
      </c>
      <c r="B1" t="s">
        <v>1</v>
      </c>
      <c r="C1" t="s">
        <v>2</v>
      </c>
    </row>
    <row r="2" spans="2:3">
      <c r="B2" t="s">
        <v>3</v>
      </c>
      <c r="C2" t="s">
        <v>4</v>
      </c>
    </row>
    <row r="3" s="1" customFormat="1" spans="1:3">
      <c r="A3" s="1">
        <v>1</v>
      </c>
      <c r="C3" s="3" t="s">
        <v>5</v>
      </c>
    </row>
    <row r="4" spans="1:3">
      <c r="A4">
        <v>2</v>
      </c>
      <c r="C4" s="4" t="str">
        <f>((LEFT(C3,1)+1)&amp;","&amp;75)&amp;"|"&amp;((MID(C3,6,2)+1)&amp;","&amp;50)</f>
        <v>6,75|26,50</v>
      </c>
    </row>
    <row r="5" spans="1:3">
      <c r="A5">
        <v>3</v>
      </c>
      <c r="C5" s="4" t="str">
        <f>((LEFT(C4,1)+1)&amp;","&amp;75)&amp;"|"&amp;((MID(C4,6,2)+1)&amp;","&amp;50)</f>
        <v>7,75|27,50</v>
      </c>
    </row>
    <row r="6" spans="1:3">
      <c r="A6">
        <v>4</v>
      </c>
      <c r="C6" s="4" t="str">
        <f>((LEFT(C5,1)+1)&amp;","&amp;75)&amp;"|"&amp;((MID(C5,6,2)+1)&amp;","&amp;50)</f>
        <v>8,75|28,50</v>
      </c>
    </row>
    <row r="7" spans="1:3">
      <c r="A7">
        <v>5</v>
      </c>
      <c r="C7" s="4" t="str">
        <f>((LEFT(C6,1)+1)&amp;","&amp;75)&amp;"|"&amp;((MID(C6,6,2)+1)&amp;","&amp;50)</f>
        <v>9,75|29,50</v>
      </c>
    </row>
    <row r="8" spans="1:3">
      <c r="A8">
        <v>6</v>
      </c>
      <c r="C8" s="4" t="str">
        <f>((LEFT(C7,1)+1)&amp;","&amp;75)&amp;"|"&amp;((MID(C7,6,2)+1)&amp;","&amp;50)</f>
        <v>10,75|30,50</v>
      </c>
    </row>
    <row r="9" spans="1:3">
      <c r="A9">
        <v>7</v>
      </c>
      <c r="C9" s="4" t="str">
        <f>((LEFT(C8,2)+1)&amp;","&amp;75)&amp;"|"&amp;((MID(C8,7,2)+1)&amp;","&amp;50)</f>
        <v>11,75|31,50</v>
      </c>
    </row>
    <row r="10" spans="1:3">
      <c r="A10">
        <v>8</v>
      </c>
      <c r="C10" s="4" t="str">
        <f t="shared" ref="C10:C22" si="0">((LEFT(C9,2)+1)&amp;","&amp;75)&amp;"|"&amp;((MID(C9,7,2)+1)&amp;","&amp;50)</f>
        <v>12,75|32,50</v>
      </c>
    </row>
    <row r="11" spans="1:3">
      <c r="A11">
        <v>9</v>
      </c>
      <c r="C11" s="4" t="str">
        <f t="shared" si="0"/>
        <v>13,75|33,50</v>
      </c>
    </row>
    <row r="12" spans="1:3">
      <c r="A12">
        <v>10</v>
      </c>
      <c r="C12" s="4" t="str">
        <f t="shared" si="0"/>
        <v>14,75|34,50</v>
      </c>
    </row>
    <row r="13" spans="1:3">
      <c r="A13">
        <v>11</v>
      </c>
      <c r="C13" s="4" t="str">
        <f t="shared" si="0"/>
        <v>15,75|35,50</v>
      </c>
    </row>
    <row r="14" spans="1:3">
      <c r="A14">
        <v>12</v>
      </c>
      <c r="C14" s="4" t="str">
        <f t="shared" si="0"/>
        <v>16,75|36,50</v>
      </c>
    </row>
    <row r="15" spans="1:3">
      <c r="A15">
        <v>13</v>
      </c>
      <c r="C15" s="4" t="str">
        <f t="shared" si="0"/>
        <v>17,75|37,50</v>
      </c>
    </row>
    <row r="16" spans="1:3">
      <c r="A16">
        <v>14</v>
      </c>
      <c r="C16" s="4" t="str">
        <f t="shared" si="0"/>
        <v>18,75|38,50</v>
      </c>
    </row>
    <row r="17" spans="1:3">
      <c r="A17">
        <v>15</v>
      </c>
      <c r="C17" s="4" t="str">
        <f t="shared" si="0"/>
        <v>19,75|39,50</v>
      </c>
    </row>
    <row r="18" spans="1:3">
      <c r="A18">
        <v>16</v>
      </c>
      <c r="C18" s="4" t="str">
        <f t="shared" si="0"/>
        <v>20,75|40,50</v>
      </c>
    </row>
    <row r="19" spans="1:3">
      <c r="A19">
        <v>17</v>
      </c>
      <c r="C19" s="4" t="str">
        <f t="shared" si="0"/>
        <v>21,75|41,50</v>
      </c>
    </row>
    <row r="20" spans="1:3">
      <c r="A20">
        <v>18</v>
      </c>
      <c r="C20" s="4" t="str">
        <f t="shared" si="0"/>
        <v>22,75|42,50</v>
      </c>
    </row>
    <row r="21" spans="1:3">
      <c r="A21">
        <v>19</v>
      </c>
      <c r="C21" s="4" t="str">
        <f t="shared" si="0"/>
        <v>23,75|43,50</v>
      </c>
    </row>
    <row r="22" spans="1:3">
      <c r="A22">
        <v>20</v>
      </c>
      <c r="C22" s="4" t="str">
        <f t="shared" si="0"/>
        <v>24,75|44,50</v>
      </c>
    </row>
    <row r="23" s="1" customFormat="1" spans="1:3">
      <c r="A23" s="1">
        <v>21</v>
      </c>
      <c r="C23" s="3" t="s">
        <v>6</v>
      </c>
    </row>
    <row r="24" spans="1:3">
      <c r="A24">
        <v>22</v>
      </c>
      <c r="C24" s="4" t="str">
        <f>((LEFT(C23,2)+1)&amp;","&amp;75)&amp;"|"&amp;((MID(C23,7,2)+1)&amp;","&amp;50)</f>
        <v>53,75|73,50</v>
      </c>
    </row>
    <row r="25" spans="1:3">
      <c r="A25">
        <v>23</v>
      </c>
      <c r="C25" s="4" t="str">
        <f t="shared" ref="C25:C42" si="1">((LEFT(C24,2)+1)&amp;","&amp;75)&amp;"|"&amp;((MID(C24,7,2)+1)&amp;","&amp;50)</f>
        <v>54,75|74,50</v>
      </c>
    </row>
    <row r="26" spans="1:3">
      <c r="A26">
        <v>24</v>
      </c>
      <c r="C26" s="4" t="str">
        <f t="shared" si="1"/>
        <v>55,75|75,50</v>
      </c>
    </row>
    <row r="27" spans="1:3">
      <c r="A27">
        <v>25</v>
      </c>
      <c r="C27" s="4" t="str">
        <f t="shared" si="1"/>
        <v>56,75|76,50</v>
      </c>
    </row>
    <row r="28" spans="1:3">
      <c r="A28">
        <v>26</v>
      </c>
      <c r="C28" s="4" t="str">
        <f t="shared" si="1"/>
        <v>57,75|77,50</v>
      </c>
    </row>
    <row r="29" spans="1:3">
      <c r="A29">
        <v>27</v>
      </c>
      <c r="C29" s="4" t="str">
        <f t="shared" si="1"/>
        <v>58,75|78,50</v>
      </c>
    </row>
    <row r="30" spans="1:3">
      <c r="A30">
        <v>28</v>
      </c>
      <c r="C30" s="4" t="str">
        <f t="shared" si="1"/>
        <v>59,75|79,50</v>
      </c>
    </row>
    <row r="31" spans="1:3">
      <c r="A31">
        <v>29</v>
      </c>
      <c r="C31" s="4" t="str">
        <f t="shared" si="1"/>
        <v>60,75|80,50</v>
      </c>
    </row>
    <row r="32" spans="1:3">
      <c r="A32">
        <v>30</v>
      </c>
      <c r="C32" s="4" t="str">
        <f t="shared" si="1"/>
        <v>61,75|81,50</v>
      </c>
    </row>
    <row r="33" spans="1:3">
      <c r="A33">
        <v>31</v>
      </c>
      <c r="C33" s="4" t="str">
        <f t="shared" si="1"/>
        <v>62,75|82,50</v>
      </c>
    </row>
    <row r="34" spans="1:3">
      <c r="A34">
        <v>32</v>
      </c>
      <c r="C34" s="4" t="str">
        <f t="shared" si="1"/>
        <v>63,75|83,50</v>
      </c>
    </row>
    <row r="35" spans="1:3">
      <c r="A35">
        <v>33</v>
      </c>
      <c r="C35" s="4" t="str">
        <f t="shared" si="1"/>
        <v>64,75|84,50</v>
      </c>
    </row>
    <row r="36" spans="1:3">
      <c r="A36">
        <v>34</v>
      </c>
      <c r="C36" s="4" t="str">
        <f t="shared" si="1"/>
        <v>65,75|85,50</v>
      </c>
    </row>
    <row r="37" spans="1:3">
      <c r="A37">
        <v>35</v>
      </c>
      <c r="C37" s="4" t="str">
        <f t="shared" si="1"/>
        <v>66,75|86,50</v>
      </c>
    </row>
    <row r="38" spans="1:3">
      <c r="A38">
        <v>36</v>
      </c>
      <c r="C38" s="4" t="str">
        <f t="shared" si="1"/>
        <v>67,75|87,50</v>
      </c>
    </row>
    <row r="39" spans="1:3">
      <c r="A39">
        <v>37</v>
      </c>
      <c r="C39" s="4" t="str">
        <f t="shared" si="1"/>
        <v>68,75|88,50</v>
      </c>
    </row>
    <row r="40" spans="1:3">
      <c r="A40">
        <v>38</v>
      </c>
      <c r="C40" s="4" t="str">
        <f t="shared" si="1"/>
        <v>69,75|89,50</v>
      </c>
    </row>
    <row r="41" spans="1:3">
      <c r="A41">
        <v>39</v>
      </c>
      <c r="C41" s="4" t="str">
        <f t="shared" si="1"/>
        <v>70,75|90,50</v>
      </c>
    </row>
    <row r="42" spans="1:3">
      <c r="A42">
        <v>40</v>
      </c>
      <c r="C42" s="4" t="str">
        <f t="shared" si="1"/>
        <v>71,75|91,50</v>
      </c>
    </row>
    <row r="43" s="1" customFormat="1" spans="1:3">
      <c r="A43" s="1">
        <v>41</v>
      </c>
      <c r="C43" s="3" t="s">
        <v>7</v>
      </c>
    </row>
    <row r="44" spans="1:3">
      <c r="A44">
        <v>42</v>
      </c>
      <c r="C44" s="4" t="str">
        <f>((LEFT(C43,2)+1)&amp;","&amp;75)&amp;"|"&amp;((MID(C43,7,3)+1)&amp;","&amp;50)</f>
        <v>100,75|120,50</v>
      </c>
    </row>
    <row r="45" spans="1:3">
      <c r="A45">
        <v>43</v>
      </c>
      <c r="C45" s="4" t="str">
        <f>((LEFT(C44,3)+1)&amp;","&amp;75)&amp;"|"&amp;((MID(C44,8,3)+1)&amp;","&amp;50)</f>
        <v>101,75|121,50</v>
      </c>
    </row>
    <row r="46" spans="1:3">
      <c r="A46">
        <v>44</v>
      </c>
      <c r="C46" s="4" t="str">
        <f t="shared" ref="C46:C62" si="2">((LEFT(C45,3)+1)&amp;","&amp;75)&amp;"|"&amp;((MID(C45,8,3)+1)&amp;","&amp;50)</f>
        <v>102,75|122,50</v>
      </c>
    </row>
    <row r="47" spans="1:3">
      <c r="A47">
        <v>45</v>
      </c>
      <c r="C47" s="4" t="str">
        <f t="shared" si="2"/>
        <v>103,75|123,50</v>
      </c>
    </row>
    <row r="48" spans="1:3">
      <c r="A48">
        <v>46</v>
      </c>
      <c r="C48" s="4" t="str">
        <f t="shared" si="2"/>
        <v>104,75|124,50</v>
      </c>
    </row>
    <row r="49" spans="1:3">
      <c r="A49">
        <v>47</v>
      </c>
      <c r="C49" s="4" t="str">
        <f t="shared" si="2"/>
        <v>105,75|125,50</v>
      </c>
    </row>
    <row r="50" spans="1:3">
      <c r="A50">
        <v>48</v>
      </c>
      <c r="C50" s="4" t="str">
        <f t="shared" si="2"/>
        <v>106,75|126,50</v>
      </c>
    </row>
    <row r="51" spans="1:3">
      <c r="A51">
        <v>49</v>
      </c>
      <c r="C51" s="4" t="str">
        <f t="shared" si="2"/>
        <v>107,75|127,50</v>
      </c>
    </row>
    <row r="52" spans="1:3">
      <c r="A52">
        <v>50</v>
      </c>
      <c r="C52" s="4" t="str">
        <f t="shared" si="2"/>
        <v>108,75|128,50</v>
      </c>
    </row>
    <row r="53" spans="1:3">
      <c r="A53">
        <v>51</v>
      </c>
      <c r="C53" s="4" t="str">
        <f t="shared" si="2"/>
        <v>109,75|129,50</v>
      </c>
    </row>
    <row r="54" spans="1:3">
      <c r="A54">
        <v>52</v>
      </c>
      <c r="C54" s="4" t="str">
        <f t="shared" si="2"/>
        <v>110,75|130,50</v>
      </c>
    </row>
    <row r="55" spans="1:3">
      <c r="A55">
        <v>53</v>
      </c>
      <c r="C55" s="4" t="str">
        <f t="shared" si="2"/>
        <v>111,75|131,50</v>
      </c>
    </row>
    <row r="56" spans="1:3">
      <c r="A56">
        <v>54</v>
      </c>
      <c r="C56" s="4" t="str">
        <f t="shared" si="2"/>
        <v>112,75|132,50</v>
      </c>
    </row>
    <row r="57" spans="1:3">
      <c r="A57">
        <v>55</v>
      </c>
      <c r="C57" s="4" t="str">
        <f t="shared" si="2"/>
        <v>113,75|133,50</v>
      </c>
    </row>
    <row r="58" spans="1:3">
      <c r="A58">
        <v>56</v>
      </c>
      <c r="C58" s="4" t="str">
        <f t="shared" si="2"/>
        <v>114,75|134,50</v>
      </c>
    </row>
    <row r="59" spans="1:3">
      <c r="A59">
        <v>57</v>
      </c>
      <c r="C59" s="4" t="str">
        <f t="shared" si="2"/>
        <v>115,75|135,50</v>
      </c>
    </row>
    <row r="60" spans="1:3">
      <c r="A60">
        <v>58</v>
      </c>
      <c r="C60" s="4" t="str">
        <f t="shared" si="2"/>
        <v>116,75|136,50</v>
      </c>
    </row>
    <row r="61" spans="1:3">
      <c r="A61">
        <v>59</v>
      </c>
      <c r="C61" s="4" t="str">
        <f t="shared" si="2"/>
        <v>117,75|137,50</v>
      </c>
    </row>
    <row r="62" spans="1:3">
      <c r="A62">
        <v>60</v>
      </c>
      <c r="C62" s="4" t="str">
        <f t="shared" si="2"/>
        <v>118,75|138,50</v>
      </c>
    </row>
    <row r="63" s="2" customFormat="1" spans="1:3">
      <c r="A63" s="2">
        <v>61</v>
      </c>
      <c r="C63" s="5" t="s">
        <v>8</v>
      </c>
    </row>
    <row r="64" s="2" customFormat="1" spans="1:3">
      <c r="A64" s="2">
        <v>62</v>
      </c>
      <c r="C64" s="5" t="s">
        <v>9</v>
      </c>
    </row>
    <row r="65" s="2" customFormat="1" spans="1:3">
      <c r="A65" s="2">
        <v>63</v>
      </c>
      <c r="C65" s="5" t="s">
        <v>10</v>
      </c>
    </row>
    <row r="66" s="2" customFormat="1" spans="1:3">
      <c r="A66" s="2">
        <v>64</v>
      </c>
      <c r="C66" s="5" t="s">
        <v>11</v>
      </c>
    </row>
    <row r="67" s="2" customFormat="1" spans="1:3">
      <c r="A67" s="2">
        <v>65</v>
      </c>
      <c r="C67" s="5" t="s">
        <v>12</v>
      </c>
    </row>
    <row r="68" s="2" customFormat="1" spans="1:3">
      <c r="A68" s="2">
        <v>66</v>
      </c>
      <c r="C68" s="5" t="s">
        <v>13</v>
      </c>
    </row>
    <row r="69" s="2" customFormat="1" spans="1:3">
      <c r="A69" s="2">
        <v>67</v>
      </c>
      <c r="C69" s="5" t="s">
        <v>14</v>
      </c>
    </row>
    <row r="70" s="2" customFormat="1" spans="1:3">
      <c r="A70" s="2">
        <v>68</v>
      </c>
      <c r="C70" s="5" t="s">
        <v>15</v>
      </c>
    </row>
    <row r="71" s="2" customFormat="1" spans="1:3">
      <c r="A71" s="2">
        <v>69</v>
      </c>
      <c r="C71" s="5" t="s">
        <v>16</v>
      </c>
    </row>
    <row r="72" s="2" customFormat="1" spans="1:3">
      <c r="A72" s="2">
        <v>70</v>
      </c>
      <c r="C72" s="5" t="s">
        <v>17</v>
      </c>
    </row>
    <row r="73" s="2" customFormat="1" spans="1:3">
      <c r="A73" s="2">
        <v>71</v>
      </c>
      <c r="C73" s="5" t="s">
        <v>18</v>
      </c>
    </row>
    <row r="74" s="2" customFormat="1" spans="1:3">
      <c r="A74" s="2">
        <v>72</v>
      </c>
      <c r="C74" s="5" t="s">
        <v>19</v>
      </c>
    </row>
    <row r="75" s="2" customFormat="1" spans="1:3">
      <c r="A75" s="2">
        <v>73</v>
      </c>
      <c r="C75" s="5" t="s">
        <v>20</v>
      </c>
    </row>
    <row r="76" s="2" customFormat="1" spans="1:3">
      <c r="A76" s="2">
        <v>74</v>
      </c>
      <c r="C76" s="5" t="s">
        <v>21</v>
      </c>
    </row>
    <row r="77" s="2" customFormat="1" spans="1:3">
      <c r="A77" s="2">
        <v>75</v>
      </c>
      <c r="C77" s="5" t="s">
        <v>22</v>
      </c>
    </row>
    <row r="78" s="2" customFormat="1" spans="1:3">
      <c r="A78" s="2">
        <v>76</v>
      </c>
      <c r="C78" s="5" t="s">
        <v>23</v>
      </c>
    </row>
    <row r="79" s="2" customFormat="1" spans="1:3">
      <c r="A79" s="2">
        <v>77</v>
      </c>
      <c r="C79" s="5" t="s">
        <v>24</v>
      </c>
    </row>
    <row r="80" s="2" customFormat="1" spans="1:3">
      <c r="A80" s="2">
        <v>78</v>
      </c>
      <c r="C80" s="5" t="s">
        <v>25</v>
      </c>
    </row>
    <row r="81" s="2" customFormat="1" spans="1:3">
      <c r="A81" s="2">
        <v>79</v>
      </c>
      <c r="C81" s="5" t="s">
        <v>26</v>
      </c>
    </row>
    <row r="82" s="2" customFormat="1" spans="1:3">
      <c r="A82" s="2">
        <v>80</v>
      </c>
      <c r="C82" s="5" t="s">
        <v>27</v>
      </c>
    </row>
    <row r="83" s="2" customFormat="1" spans="1:3">
      <c r="A83" s="2">
        <v>81</v>
      </c>
      <c r="C83" s="5" t="s">
        <v>28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永远最燃孙悟饭</cp:lastModifiedBy>
  <dcterms:created xsi:type="dcterms:W3CDTF">2015-06-05T18:19:00Z</dcterms:created>
  <dcterms:modified xsi:type="dcterms:W3CDTF">2020-04-14T14:26:10Z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